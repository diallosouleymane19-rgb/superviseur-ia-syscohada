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 SYSCOHADA 2024" sheetId="1" state="visible" r:id="rId3"/>
    <sheet name="Relevé Bancaire BIS - Mai 2024" sheetId="2" state="visible" r:id="rId4"/>
    <sheet name="Balance Agée Clien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<sst xmlns="http://schemas.openxmlformats.org/spreadsheetml/2006/main" count="246" uniqueCount="243">
  <si>
    <t xml:space="preserve">SARL DIALLO &amp; FRÈRES — Balance Générale au 31/12/2024</t>
  </si>
  <si>
    <t xml:space="preserve">Activité : Commerce téléphonie &amp; informatique | NINEA : SN-2024-B-0042517 | Dakar Plateau, Sénégal</t>
  </si>
  <si>
    <t xml:space="preserve">Exercice : 01/01/2024 — 31/12/2024 | Devise : FCFA | Référentiel : SYSCOHADA révisé 2017</t>
  </si>
  <si>
    <t xml:space="preserve">Compte</t>
  </si>
  <si>
    <t xml:space="preserve">Libellé</t>
  </si>
  <si>
    <t xml:space="preserve">Débit</t>
  </si>
  <si>
    <t xml:space="preserve">Crédit</t>
  </si>
  <si>
    <t xml:space="preserve">RESSOURCES DURABLES</t>
  </si>
  <si>
    <t xml:space="preserve">101</t>
  </si>
  <si>
    <t xml:space="preserve">Capital social</t>
  </si>
  <si>
    <t xml:space="preserve">111</t>
  </si>
  <si>
    <t xml:space="preserve">Réserve légale</t>
  </si>
  <si>
    <t xml:space="preserve">118</t>
  </si>
  <si>
    <t xml:space="preserve">Autres réserves</t>
  </si>
  <si>
    <t xml:space="preserve">120</t>
  </si>
  <si>
    <t xml:space="preserve">Report à nouveau créditeur</t>
  </si>
  <si>
    <t xml:space="preserve">161</t>
  </si>
  <si>
    <t xml:space="preserve">Emprunt BIS — Prêt moyen terme</t>
  </si>
  <si>
    <t xml:space="preserve">162</t>
  </si>
  <si>
    <t xml:space="preserve">Dettes de crédit-bail mobilier</t>
  </si>
  <si>
    <t xml:space="preserve">401</t>
  </si>
  <si>
    <t xml:space="preserve">Fournisseurs Huawei Distribution SN</t>
  </si>
  <si>
    <t xml:space="preserve">4011</t>
  </si>
  <si>
    <t xml:space="preserve">Fournisseurs Orange Equipment SA</t>
  </si>
  <si>
    <t xml:space="preserve">4012</t>
  </si>
  <si>
    <t xml:space="preserve">Fournisseurs Alibaba Connect</t>
  </si>
  <si>
    <t xml:space="preserve">404</t>
  </si>
  <si>
    <t xml:space="preserve">Fournisseurs d'immobilisations</t>
  </si>
  <si>
    <t xml:space="preserve">408</t>
  </si>
  <si>
    <t xml:space="preserve">Fournisseurs — Factures non parvenues</t>
  </si>
  <si>
    <t xml:space="preserve">ACTIF IMMOBILISÉ</t>
  </si>
  <si>
    <t xml:space="preserve">231</t>
  </si>
  <si>
    <t xml:space="preserve">Bâtiments commerciaux Dakar</t>
  </si>
  <si>
    <t xml:space="preserve">2813</t>
  </si>
  <si>
    <t xml:space="preserve">Amort. bâtiments commerciaux</t>
  </si>
  <si>
    <t xml:space="preserve">245</t>
  </si>
  <si>
    <t xml:space="preserve">Matériel informatique &amp; bureautique</t>
  </si>
  <si>
    <t xml:space="preserve">2845</t>
  </si>
  <si>
    <t xml:space="preserve">Amort. matériel informatique</t>
  </si>
  <si>
    <t xml:space="preserve">251</t>
  </si>
  <si>
    <t xml:space="preserve">Véhicule de livraison Toyota Hilux</t>
  </si>
  <si>
    <t xml:space="preserve">2851</t>
  </si>
  <si>
    <t xml:space="preserve">Amort. véhicule de livraison</t>
  </si>
  <si>
    <t xml:space="preserve">261</t>
  </si>
  <si>
    <t xml:space="preserve">Titres de participation — SN Distrib</t>
  </si>
  <si>
    <t xml:space="preserve">STOCKS</t>
  </si>
  <si>
    <t xml:space="preserve">311</t>
  </si>
  <si>
    <t xml:space="preserve">Marchandises — téléphones &amp; smartphones</t>
  </si>
  <si>
    <t xml:space="preserve">312</t>
  </si>
  <si>
    <t xml:space="preserve">Marchandises — PC portables &amp; tablettes</t>
  </si>
  <si>
    <t xml:space="preserve">3131</t>
  </si>
  <si>
    <t xml:space="preserve">Marchandises — accessoires électroniques</t>
  </si>
  <si>
    <t xml:space="preserve">TIERS</t>
  </si>
  <si>
    <t xml:space="preserve">411</t>
  </si>
  <si>
    <t xml:space="preserve">Clients entreprises &amp; administrations</t>
  </si>
  <si>
    <t xml:space="preserve">4111</t>
  </si>
  <si>
    <t xml:space="preserve">Clients particuliers</t>
  </si>
  <si>
    <t xml:space="preserve">416</t>
  </si>
  <si>
    <t xml:space="preserve">Créances clients — effets à recevoir</t>
  </si>
  <si>
    <t xml:space="preserve">421</t>
  </si>
  <si>
    <t xml:space="preserve">Personnel — salaires à payer</t>
  </si>
  <si>
    <t xml:space="preserve">422</t>
  </si>
  <si>
    <t xml:space="preserve">Personnel — congés payés à provisionner</t>
  </si>
  <si>
    <t xml:space="preserve">431</t>
  </si>
  <si>
    <t xml:space="preserve">IPRES — cotisations à reverser</t>
  </si>
  <si>
    <t xml:space="preserve">437</t>
  </si>
  <si>
    <t xml:space="preserve">CSS — cotisations à reverser</t>
  </si>
  <si>
    <t xml:space="preserve">4411</t>
  </si>
  <si>
    <t xml:space="preserve">TVA collectée — décembre 2024</t>
  </si>
  <si>
    <t xml:space="preserve">4452</t>
  </si>
  <si>
    <t xml:space="preserve">TVA déductible sur achats</t>
  </si>
  <si>
    <t xml:space="preserve">4453</t>
  </si>
  <si>
    <t xml:space="preserve">TVA déductible sur immobilisations</t>
  </si>
  <si>
    <t xml:space="preserve">4471</t>
  </si>
  <si>
    <t xml:space="preserve">Acomptes IS versés</t>
  </si>
  <si>
    <t xml:space="preserve">4481</t>
  </si>
  <si>
    <t xml:space="preserve">État — IS à payer</t>
  </si>
  <si>
    <t xml:space="preserve">TRÉSORERIE</t>
  </si>
  <si>
    <t xml:space="preserve">521</t>
  </si>
  <si>
    <t xml:space="preserve">Banque BIS — compte courant</t>
  </si>
  <si>
    <t xml:space="preserve">5211</t>
  </si>
  <si>
    <t xml:space="preserve">Banque Ecobank SN</t>
  </si>
  <si>
    <t xml:space="preserve">571</t>
  </si>
  <si>
    <t xml:space="preserve">Caisse principale</t>
  </si>
  <si>
    <t xml:space="preserve">5751</t>
  </si>
  <si>
    <t xml:space="preserve">Caisse annexe boutique Plateau</t>
  </si>
  <si>
    <t xml:space="preserve">CHARGES DE L'EXERCICE</t>
  </si>
  <si>
    <t xml:space="preserve">601</t>
  </si>
  <si>
    <t xml:space="preserve">Achats de marchandises</t>
  </si>
  <si>
    <t xml:space="preserve">6031</t>
  </si>
  <si>
    <t xml:space="preserve">Variation de stocks marchandises</t>
  </si>
  <si>
    <t xml:space="preserve">621</t>
  </si>
  <si>
    <t xml:space="preserve">Salaires et appointements</t>
  </si>
  <si>
    <t xml:space="preserve">6221</t>
  </si>
  <si>
    <t xml:space="preserve">Cotisations IPRES patronales</t>
  </si>
  <si>
    <t xml:space="preserve">6222</t>
  </si>
  <si>
    <t xml:space="preserve">Cotisations CSS</t>
  </si>
  <si>
    <t xml:space="preserve">6312</t>
  </si>
  <si>
    <t xml:space="preserve">Transport sur ventes</t>
  </si>
  <si>
    <t xml:space="preserve">6322</t>
  </si>
  <si>
    <t xml:space="preserve">Déplacements et missions</t>
  </si>
  <si>
    <t xml:space="preserve">633</t>
  </si>
  <si>
    <t xml:space="preserve">Redevances pour concessions</t>
  </si>
  <si>
    <t xml:space="preserve">6411</t>
  </si>
  <si>
    <t xml:space="preserve">Impôts et taxes locaux</t>
  </si>
  <si>
    <t xml:space="preserve">6415</t>
  </si>
  <si>
    <t xml:space="preserve">Patente commerciale 2024</t>
  </si>
  <si>
    <t xml:space="preserve">645</t>
  </si>
  <si>
    <t xml:space="preserve">Loyers et charges locatives</t>
  </si>
  <si>
    <t xml:space="preserve">651</t>
  </si>
  <si>
    <t xml:space="preserve">Pertes sur créances clients</t>
  </si>
  <si>
    <t xml:space="preserve">661</t>
  </si>
  <si>
    <t xml:space="preserve">Intérêts bancaires &amp; agios</t>
  </si>
  <si>
    <t xml:space="preserve">6813</t>
  </si>
  <si>
    <t xml:space="preserve">DAP — matériel informatique</t>
  </si>
  <si>
    <t xml:space="preserve">6815</t>
  </si>
  <si>
    <t xml:space="preserve">DAP — véhicule de livraison</t>
  </si>
  <si>
    <t xml:space="preserve">6819</t>
  </si>
  <si>
    <t xml:space="preserve">DAP — bâtiments</t>
  </si>
  <si>
    <t xml:space="preserve">691</t>
  </si>
  <si>
    <t xml:space="preserve">Participation des travailleurs aux bénéfices</t>
  </si>
  <si>
    <t xml:space="preserve">695</t>
  </si>
  <si>
    <t xml:space="preserve">Impôt sur les sociétés (IS)</t>
  </si>
  <si>
    <t xml:space="preserve">PRODUITS DE L'EXERCICE</t>
  </si>
  <si>
    <t xml:space="preserve">701</t>
  </si>
  <si>
    <t xml:space="preserve">Ventes de marchandises</t>
  </si>
  <si>
    <t xml:space="preserve">7011</t>
  </si>
  <si>
    <t xml:space="preserve">RRR accordés sur ventes</t>
  </si>
  <si>
    <t xml:space="preserve">706</t>
  </si>
  <si>
    <t xml:space="preserve">Prestations de services &amp; réparations</t>
  </si>
  <si>
    <t xml:space="preserve">7071</t>
  </si>
  <si>
    <t xml:space="preserve">Produits accessoires — formation</t>
  </si>
  <si>
    <t xml:space="preserve">761</t>
  </si>
  <si>
    <t xml:space="preserve">Intérêts et produits de placement BIS</t>
  </si>
  <si>
    <t xml:space="preserve">7711</t>
  </si>
  <si>
    <t xml:space="preserve">Reprises provisions pour risques</t>
  </si>
  <si>
    <t xml:space="preserve">TOTAL</t>
  </si>
  <si>
    <t xml:space="preserve">Balance des soldes au 31/12/2024</t>
  </si>
  <si>
    <t xml:space="preserve">BANQUE INTERNATIONALE DU SÉNÉGAL — Relevé de Compte Mai 2024</t>
  </si>
  <si>
    <t xml:space="preserve">Titulaire : SARL DIALLO &amp; FRÈRES | N° Compte : 0216-04812-88 | Devise : FCFA</t>
  </si>
  <si>
    <t xml:space="preserve">Date</t>
  </si>
  <si>
    <t xml:space="preserve">Libellé opération</t>
  </si>
  <si>
    <t xml:space="preserve">Référence</t>
  </si>
  <si>
    <t xml:space="preserve">Solde</t>
  </si>
  <si>
    <t xml:space="preserve">01/05/2024</t>
  </si>
  <si>
    <t xml:space="preserve">Solde au 01/05/2024</t>
  </si>
  <si>
    <t xml:space="preserve">02/05/2024</t>
  </si>
  <si>
    <t xml:space="preserve">VIR Reçu — CLIENT001 SOTELMA</t>
  </si>
  <si>
    <t xml:space="preserve">VIR-0052</t>
  </si>
  <si>
    <t xml:space="preserve">03/05/2024</t>
  </si>
  <si>
    <t xml:space="preserve">Paiement fournisseur HUAWEI DIST</t>
  </si>
  <si>
    <t xml:space="preserve">CHQ-0124</t>
  </si>
  <si>
    <t xml:space="preserve">05/05/2024</t>
  </si>
  <si>
    <t xml:space="preserve">Prélèvement loyer — SCI PLATEAU</t>
  </si>
  <si>
    <t xml:space="preserve">PRE-0055</t>
  </si>
  <si>
    <t xml:space="preserve">07/05/2024</t>
  </si>
  <si>
    <t xml:space="preserve">VIR Reçu — MAIRIE DE DAKAR</t>
  </si>
  <si>
    <t xml:space="preserve">VIR-0061</t>
  </si>
  <si>
    <t xml:space="preserve">08/05/2024</t>
  </si>
  <si>
    <t xml:space="preserve">Remise chèque — CLI-ORANGE SN</t>
  </si>
  <si>
    <t xml:space="preserve">REM-0032</t>
  </si>
  <si>
    <t xml:space="preserve">09/05/2024</t>
  </si>
  <si>
    <t xml:space="preserve">Prélèvement IPRES mai 2024</t>
  </si>
  <si>
    <t xml:space="preserve">PRE-0058</t>
  </si>
  <si>
    <t xml:space="preserve">10/05/2024</t>
  </si>
  <si>
    <t xml:space="preserve">VIR Reçu — SENELEC</t>
  </si>
  <si>
    <t xml:space="preserve">VIR-0072</t>
  </si>
  <si>
    <t xml:space="preserve">12/05/2024</t>
  </si>
  <si>
    <t xml:space="preserve">Paiement salaires mai 2024</t>
  </si>
  <si>
    <t xml:space="preserve">VIR-SAL</t>
  </si>
  <si>
    <t xml:space="preserve">14/05/2024</t>
  </si>
  <si>
    <t xml:space="preserve">Achat marchandises — ALIBABA CONNECT</t>
  </si>
  <si>
    <t xml:space="preserve">CHQ-0125</t>
  </si>
  <si>
    <t xml:space="preserve">15/05/2024</t>
  </si>
  <si>
    <t xml:space="preserve">Agios et frais bancaires mai</t>
  </si>
  <si>
    <t xml:space="preserve">FRB-0521</t>
  </si>
  <si>
    <t xml:space="preserve">16/05/2024</t>
  </si>
  <si>
    <t xml:space="preserve">VIR Reçu — CLI-TOTAL SÉNÉGAL</t>
  </si>
  <si>
    <t xml:space="preserve">VIR-0085</t>
  </si>
  <si>
    <t xml:space="preserve">17/05/2024</t>
  </si>
  <si>
    <t xml:space="preserve">Remboursement mensuel emprunt BIS</t>
  </si>
  <si>
    <t xml:space="preserve">ECH-0082</t>
  </si>
  <si>
    <t xml:space="preserve">20/05/2024</t>
  </si>
  <si>
    <t xml:space="preserve">VIR Reçu — CABINET EXPERTISE SN</t>
  </si>
  <si>
    <t xml:space="preserve">VIR-0091</t>
  </si>
  <si>
    <t xml:space="preserve">21/05/2024</t>
  </si>
  <si>
    <t xml:space="preserve">Paiement TVA avril 2024 — DGI</t>
  </si>
  <si>
    <t xml:space="preserve">VIR-DGI</t>
  </si>
  <si>
    <t xml:space="preserve">22/05/2024</t>
  </si>
  <si>
    <t xml:space="preserve">Achat équipements — ORANGE EQUIPMENT</t>
  </si>
  <si>
    <t xml:space="preserve">CHQ-0126</t>
  </si>
  <si>
    <t xml:space="preserve">23/05/2024</t>
  </si>
  <si>
    <t xml:space="preserve">VIR Reçu — MINISTÈRE ÉDUCATION</t>
  </si>
  <si>
    <t xml:space="preserve">VIR-0097</t>
  </si>
  <si>
    <t xml:space="preserve">24/05/2024</t>
  </si>
  <si>
    <t xml:space="preserve">CSS cotisations patronales mai</t>
  </si>
  <si>
    <t xml:space="preserve">PRE-0062</t>
  </si>
  <si>
    <t xml:space="preserve">27/05/2024</t>
  </si>
  <si>
    <t xml:space="preserve">VIR Reçu — SOCIÉTÉ IBIS SÉNÉGAL</t>
  </si>
  <si>
    <t xml:space="preserve">VIR-0103</t>
  </si>
  <si>
    <t xml:space="preserve">28/05/2024</t>
  </si>
  <si>
    <t xml:space="preserve">Paiement patente 2024 — Trésor Public</t>
  </si>
  <si>
    <t xml:space="preserve">VIR-TRE</t>
  </si>
  <si>
    <t xml:space="preserve">29/05/2024</t>
  </si>
  <si>
    <t xml:space="preserve">Virement interne vers caisse</t>
  </si>
  <si>
    <t xml:space="preserve">VIR-CAI</t>
  </si>
  <si>
    <t xml:space="preserve">30/05/2024</t>
  </si>
  <si>
    <t xml:space="preserve">Intérêts créditeurs BIS mai 2024</t>
  </si>
  <si>
    <t xml:space="preserve">INT-0521</t>
  </si>
  <si>
    <t xml:space="preserve">31/05/2024</t>
  </si>
  <si>
    <t xml:space="preserve">Solde au 31/05/2024</t>
  </si>
  <si>
    <t xml:space="preserve">SARL DIALLO &amp; FRÈRES — Balance Âgée Clients au 31/12/2024 (en FCFA)</t>
  </si>
  <si>
    <t xml:space="preserve">Code client</t>
  </si>
  <si>
    <t xml:space="preserve">Raison sociale</t>
  </si>
  <si>
    <t xml:space="preserve">Total dû</t>
  </si>
  <si>
    <t xml:space="preserve">&lt; 30 jours</t>
  </si>
  <si>
    <t xml:space="preserve">30-60 jours</t>
  </si>
  <si>
    <t xml:space="preserve">60-90 jours</t>
  </si>
  <si>
    <t xml:space="preserve">&gt; 90 jours</t>
  </si>
  <si>
    <t xml:space="preserve">CLI-001</t>
  </si>
  <si>
    <t xml:space="preserve">SOTELMA SA</t>
  </si>
  <si>
    <t xml:space="preserve">CLI-002</t>
  </si>
  <si>
    <t xml:space="preserve">SONATEL ORANGE SN</t>
  </si>
  <si>
    <t xml:space="preserve">CLI-003</t>
  </si>
  <si>
    <t xml:space="preserve">MAIRIE DE DAKAR</t>
  </si>
  <si>
    <t xml:space="preserve">CLI-004</t>
  </si>
  <si>
    <t xml:space="preserve">MINISTÈRE DE L'ÉDUCATION</t>
  </si>
  <si>
    <t xml:space="preserve">CLI-005</t>
  </si>
  <si>
    <t xml:space="preserve">TOTAL SÉNÉGAL</t>
  </si>
  <si>
    <t xml:space="preserve">CLI-006</t>
  </si>
  <si>
    <t xml:space="preserve">SENELEC</t>
  </si>
  <si>
    <t xml:space="preserve">CLI-007</t>
  </si>
  <si>
    <t xml:space="preserve">CABINET EXPERTISE SN</t>
  </si>
  <si>
    <t xml:space="preserve">CLI-008</t>
  </si>
  <si>
    <t xml:space="preserve">SOCIÉTÉ IBIS SÉNÉGAL</t>
  </si>
  <si>
    <t xml:space="preserve">CLI-009</t>
  </si>
  <si>
    <t xml:space="preserve">DGID — Administration</t>
  </si>
  <si>
    <t xml:space="preserve">CLI-010</t>
  </si>
  <si>
    <t xml:space="preserve">UGB Saint-Louis</t>
  </si>
  <si>
    <t xml:space="preserve">CLI-011</t>
  </si>
  <si>
    <t xml:space="preserve">PETROSEN</t>
  </si>
  <si>
    <t xml:space="preserve">CLI-012</t>
  </si>
  <si>
    <t xml:space="preserve">Divers clients particuliers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</si>
</sst>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2E5F8A"/>
        <bgColor rgb="FF0066CC"/>
      </patternFill>
    </fill>
    <fill>
      <patternFill patternType="solid">
        <fgColor rgb="FFEEF4FB"/>
        <bgColor rgb="FFF0F4F8"/>
      </patternFill>
    </fill>
    <fill>
      <patternFill patternType="solid">
        <fgColor rgb="FFFFFFFF"/>
        <bgColor rgb="FFF0F4F8"/>
      </patternFill>
    </fill>
    <fill>
      <patternFill patternType="solid">
        <fgColor rgb="FFF0F4F8"/>
        <bgColor rgb="FFEEF4FB"/>
      </patternFill>
    </fill>
    <fill>
      <patternFill patternType="solid">
        <fgColor rgb="FFD6E4F0"/>
        <bgColor rgb="FFEEF4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F4F8"/>
      <rgbColor rgb="FFEEF4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E5F8A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4" min="3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</row>
    <row r="5" customFormat="false" ht="21.7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</row>
    <row r="6" customFormat="false" ht="15" hidden="false" customHeight="false" outlineLevel="0" collapsed="false">
      <c r="A6" s="4"/>
      <c r="B6" s="4" t="s">
        <v>7</v>
      </c>
      <c r="C6" s="4"/>
      <c r="D6" s="4"/>
    </row>
    <row r="7" customFormat="false" ht="15" hidden="false" customHeight="false" outlineLevel="0" collapsed="false">
      <c r="A7" s="5" t="s">
        <v>8</v>
      </c>
      <c r="B7" s="5" t="s">
        <v>9</v>
      </c>
      <c r="C7" s="6" t="n">
        <v>0</v>
      </c>
      <c r="D7" s="6" t="n">
        <v>25000000</v>
      </c>
    </row>
    <row r="8" customFormat="false" ht="15" hidden="false" customHeight="false" outlineLevel="0" collapsed="false">
      <c r="A8" s="7" t="s">
        <v>10</v>
      </c>
      <c r="B8" s="7" t="s">
        <v>11</v>
      </c>
      <c r="C8" s="8" t="n">
        <v>0</v>
      </c>
      <c r="D8" s="8" t="n">
        <v>1250000</v>
      </c>
    </row>
    <row r="9" customFormat="false" ht="15" hidden="false" customHeight="false" outlineLevel="0" collapsed="false">
      <c r="A9" s="5" t="s">
        <v>12</v>
      </c>
      <c r="B9" s="5" t="s">
        <v>13</v>
      </c>
      <c r="C9" s="6" t="n">
        <v>0</v>
      </c>
      <c r="D9" s="6" t="n">
        <v>2500000</v>
      </c>
    </row>
    <row r="10" customFormat="false" ht="15" hidden="false" customHeight="false" outlineLevel="0" collapsed="false">
      <c r="A10" s="7" t="s">
        <v>14</v>
      </c>
      <c r="B10" s="7" t="s">
        <v>15</v>
      </c>
      <c r="C10" s="8" t="n">
        <v>0</v>
      </c>
      <c r="D10" s="8" t="n">
        <v>3750000</v>
      </c>
    </row>
    <row r="11" customFormat="false" ht="15" hidden="false" customHeight="false" outlineLevel="0" collapsed="false">
      <c r="A11" s="5" t="s">
        <v>16</v>
      </c>
      <c r="B11" s="5" t="s">
        <v>17</v>
      </c>
      <c r="C11" s="6" t="n">
        <v>0</v>
      </c>
      <c r="D11" s="6" t="n">
        <v>15000000</v>
      </c>
    </row>
    <row r="12" customFormat="false" ht="15" hidden="false" customHeight="false" outlineLevel="0" collapsed="false">
      <c r="A12" s="7" t="s">
        <v>18</v>
      </c>
      <c r="B12" s="7" t="s">
        <v>19</v>
      </c>
      <c r="C12" s="8" t="n">
        <v>0</v>
      </c>
      <c r="D12" s="8" t="n">
        <v>3200000</v>
      </c>
    </row>
    <row r="13" customFormat="false" ht="15" hidden="false" customHeight="false" outlineLevel="0" collapsed="false">
      <c r="A13" s="5" t="s">
        <v>20</v>
      </c>
      <c r="B13" s="5" t="s">
        <v>21</v>
      </c>
      <c r="C13" s="6" t="n">
        <v>0</v>
      </c>
      <c r="D13" s="6" t="n">
        <v>17000000</v>
      </c>
    </row>
    <row r="14" customFormat="false" ht="15" hidden="false" customHeight="false" outlineLevel="0" collapsed="false">
      <c r="A14" s="7" t="s">
        <v>22</v>
      </c>
      <c r="B14" s="7" t="s">
        <v>23</v>
      </c>
      <c r="C14" s="8" t="n">
        <v>0</v>
      </c>
      <c r="D14" s="8" t="n">
        <v>4500000</v>
      </c>
    </row>
    <row r="15" customFormat="false" ht="15" hidden="false" customHeight="false" outlineLevel="0" collapsed="false">
      <c r="A15" s="5" t="s">
        <v>24</v>
      </c>
      <c r="B15" s="5" t="s">
        <v>25</v>
      </c>
      <c r="C15" s="6" t="n">
        <v>0</v>
      </c>
      <c r="D15" s="6" t="n">
        <v>2800000</v>
      </c>
    </row>
    <row r="16" customFormat="false" ht="15" hidden="false" customHeight="false" outlineLevel="0" collapsed="false">
      <c r="A16" s="7" t="s">
        <v>26</v>
      </c>
      <c r="B16" s="7" t="s">
        <v>27</v>
      </c>
      <c r="C16" s="8" t="n">
        <v>0</v>
      </c>
      <c r="D16" s="8" t="n">
        <v>1500000</v>
      </c>
    </row>
    <row r="17" customFormat="false" ht="15" hidden="false" customHeight="false" outlineLevel="0" collapsed="false">
      <c r="A17" s="5" t="s">
        <v>28</v>
      </c>
      <c r="B17" s="5" t="s">
        <v>29</v>
      </c>
      <c r="C17" s="6" t="n">
        <v>0</v>
      </c>
      <c r="D17" s="6" t="n">
        <v>1200000</v>
      </c>
    </row>
    <row r="18" customFormat="false" ht="15" hidden="false" customHeight="false" outlineLevel="0" collapsed="false">
      <c r="A18" s="4"/>
      <c r="B18" s="4" t="s">
        <v>30</v>
      </c>
      <c r="C18" s="4"/>
      <c r="D18" s="4"/>
    </row>
    <row r="19" customFormat="false" ht="15" hidden="false" customHeight="false" outlineLevel="0" collapsed="false">
      <c r="A19" s="5" t="s">
        <v>31</v>
      </c>
      <c r="B19" s="5" t="s">
        <v>32</v>
      </c>
      <c r="C19" s="6" t="n">
        <v>20000000</v>
      </c>
      <c r="D19" s="6" t="n">
        <v>0</v>
      </c>
    </row>
    <row r="20" customFormat="false" ht="15" hidden="false" customHeight="false" outlineLevel="0" collapsed="false">
      <c r="A20" s="7" t="s">
        <v>33</v>
      </c>
      <c r="B20" s="7" t="s">
        <v>34</v>
      </c>
      <c r="C20" s="8" t="n">
        <v>0</v>
      </c>
      <c r="D20" s="8" t="n">
        <v>8000000</v>
      </c>
    </row>
    <row r="21" customFormat="false" ht="15" hidden="false" customHeight="false" outlineLevel="0" collapsed="false">
      <c r="A21" s="5" t="s">
        <v>35</v>
      </c>
      <c r="B21" s="5" t="s">
        <v>36</v>
      </c>
      <c r="C21" s="6" t="n">
        <v>12000000</v>
      </c>
      <c r="D21" s="6" t="n">
        <v>0</v>
      </c>
    </row>
    <row r="22" customFormat="false" ht="15" hidden="false" customHeight="false" outlineLevel="0" collapsed="false">
      <c r="A22" s="7" t="s">
        <v>37</v>
      </c>
      <c r="B22" s="7" t="s">
        <v>38</v>
      </c>
      <c r="C22" s="8" t="n">
        <v>0</v>
      </c>
      <c r="D22" s="8" t="n">
        <v>6000000</v>
      </c>
    </row>
    <row r="23" customFormat="false" ht="15" hidden="false" customHeight="false" outlineLevel="0" collapsed="false">
      <c r="A23" s="5" t="s">
        <v>39</v>
      </c>
      <c r="B23" s="5" t="s">
        <v>40</v>
      </c>
      <c r="C23" s="6" t="n">
        <v>8000000</v>
      </c>
      <c r="D23" s="6" t="n">
        <v>0</v>
      </c>
    </row>
    <row r="24" customFormat="false" ht="15" hidden="false" customHeight="false" outlineLevel="0" collapsed="false">
      <c r="A24" s="7" t="s">
        <v>41</v>
      </c>
      <c r="B24" s="7" t="s">
        <v>42</v>
      </c>
      <c r="C24" s="8" t="n">
        <v>0</v>
      </c>
      <c r="D24" s="8" t="n">
        <v>4000000</v>
      </c>
    </row>
    <row r="25" customFormat="false" ht="15" hidden="false" customHeight="false" outlineLevel="0" collapsed="false">
      <c r="A25" s="5" t="s">
        <v>43</v>
      </c>
      <c r="B25" s="5" t="s">
        <v>44</v>
      </c>
      <c r="C25" s="6" t="n">
        <v>2000000</v>
      </c>
      <c r="D25" s="6" t="n">
        <v>0</v>
      </c>
    </row>
    <row r="26" customFormat="false" ht="15" hidden="false" customHeight="false" outlineLevel="0" collapsed="false">
      <c r="A26" s="4"/>
      <c r="B26" s="4" t="s">
        <v>45</v>
      </c>
      <c r="C26" s="4"/>
      <c r="D26" s="4"/>
    </row>
    <row r="27" customFormat="false" ht="15" hidden="false" customHeight="false" outlineLevel="0" collapsed="false">
      <c r="A27" s="5" t="s">
        <v>46</v>
      </c>
      <c r="B27" s="5" t="s">
        <v>47</v>
      </c>
      <c r="C27" s="6" t="n">
        <v>22000000</v>
      </c>
      <c r="D27" s="6" t="n">
        <v>0</v>
      </c>
    </row>
    <row r="28" customFormat="false" ht="15" hidden="false" customHeight="false" outlineLevel="0" collapsed="false">
      <c r="A28" s="7" t="s">
        <v>48</v>
      </c>
      <c r="B28" s="7" t="s">
        <v>49</v>
      </c>
      <c r="C28" s="8" t="n">
        <v>8500000</v>
      </c>
      <c r="D28" s="8" t="n">
        <v>0</v>
      </c>
    </row>
    <row r="29" customFormat="false" ht="15" hidden="false" customHeight="false" outlineLevel="0" collapsed="false">
      <c r="A29" s="5" t="s">
        <v>50</v>
      </c>
      <c r="B29" s="5" t="s">
        <v>51</v>
      </c>
      <c r="C29" s="6" t="n">
        <v>4500000</v>
      </c>
      <c r="D29" s="6" t="n">
        <v>0</v>
      </c>
    </row>
    <row r="30" customFormat="false" ht="15" hidden="false" customHeight="false" outlineLevel="0" collapsed="false">
      <c r="A30" s="4"/>
      <c r="B30" s="4" t="s">
        <v>52</v>
      </c>
      <c r="C30" s="4"/>
      <c r="D30" s="4"/>
    </row>
    <row r="31" customFormat="false" ht="15" hidden="false" customHeight="false" outlineLevel="0" collapsed="false">
      <c r="A31" s="5" t="s">
        <v>53</v>
      </c>
      <c r="B31" s="5" t="s">
        <v>54</v>
      </c>
      <c r="C31" s="6" t="n">
        <v>28000000</v>
      </c>
      <c r="D31" s="6" t="n">
        <v>0</v>
      </c>
    </row>
    <row r="32" customFormat="false" ht="15" hidden="false" customHeight="false" outlineLevel="0" collapsed="false">
      <c r="A32" s="7" t="s">
        <v>55</v>
      </c>
      <c r="B32" s="7" t="s">
        <v>56</v>
      </c>
      <c r="C32" s="8" t="n">
        <v>5500000</v>
      </c>
      <c r="D32" s="8" t="n">
        <v>0</v>
      </c>
    </row>
    <row r="33" customFormat="false" ht="15" hidden="false" customHeight="false" outlineLevel="0" collapsed="false">
      <c r="A33" s="5" t="s">
        <v>57</v>
      </c>
      <c r="B33" s="5" t="s">
        <v>58</v>
      </c>
      <c r="C33" s="6" t="n">
        <v>2800000</v>
      </c>
      <c r="D33" s="6" t="n">
        <v>0</v>
      </c>
    </row>
    <row r="34" customFormat="false" ht="15" hidden="false" customHeight="false" outlineLevel="0" collapsed="false">
      <c r="A34" s="7" t="s">
        <v>59</v>
      </c>
      <c r="B34" s="7" t="s">
        <v>60</v>
      </c>
      <c r="C34" s="8" t="n">
        <v>0</v>
      </c>
      <c r="D34" s="8" t="n">
        <v>2500000</v>
      </c>
    </row>
    <row r="35" customFormat="false" ht="15" hidden="false" customHeight="false" outlineLevel="0" collapsed="false">
      <c r="A35" s="5" t="s">
        <v>61</v>
      </c>
      <c r="B35" s="5" t="s">
        <v>62</v>
      </c>
      <c r="C35" s="6" t="n">
        <v>0</v>
      </c>
      <c r="D35" s="6" t="n">
        <v>800000</v>
      </c>
    </row>
    <row r="36" customFormat="false" ht="15" hidden="false" customHeight="false" outlineLevel="0" collapsed="false">
      <c r="A36" s="7" t="s">
        <v>63</v>
      </c>
      <c r="B36" s="7" t="s">
        <v>64</v>
      </c>
      <c r="C36" s="8" t="n">
        <v>0</v>
      </c>
      <c r="D36" s="8" t="n">
        <v>1200000</v>
      </c>
    </row>
    <row r="37" customFormat="false" ht="15" hidden="false" customHeight="false" outlineLevel="0" collapsed="false">
      <c r="A37" s="5" t="s">
        <v>65</v>
      </c>
      <c r="B37" s="5" t="s">
        <v>66</v>
      </c>
      <c r="C37" s="6" t="n">
        <v>0</v>
      </c>
      <c r="D37" s="6" t="n">
        <v>480000</v>
      </c>
    </row>
    <row r="38" customFormat="false" ht="15" hidden="false" customHeight="false" outlineLevel="0" collapsed="false">
      <c r="A38" s="7" t="s">
        <v>67</v>
      </c>
      <c r="B38" s="7" t="s">
        <v>68</v>
      </c>
      <c r="C38" s="8" t="n">
        <v>0</v>
      </c>
      <c r="D38" s="8" t="n">
        <v>6500000</v>
      </c>
    </row>
    <row r="39" customFormat="false" ht="15" hidden="false" customHeight="false" outlineLevel="0" collapsed="false">
      <c r="A39" s="5" t="s">
        <v>69</v>
      </c>
      <c r="B39" s="5" t="s">
        <v>70</v>
      </c>
      <c r="C39" s="6" t="n">
        <v>2000000</v>
      </c>
      <c r="D39" s="6" t="n">
        <v>0</v>
      </c>
    </row>
    <row r="40" customFormat="false" ht="15" hidden="false" customHeight="false" outlineLevel="0" collapsed="false">
      <c r="A40" s="7" t="s">
        <v>71</v>
      </c>
      <c r="B40" s="7" t="s">
        <v>72</v>
      </c>
      <c r="C40" s="8" t="n">
        <v>500000</v>
      </c>
      <c r="D40" s="8" t="n">
        <v>0</v>
      </c>
    </row>
    <row r="41" customFormat="false" ht="15" hidden="false" customHeight="false" outlineLevel="0" collapsed="false">
      <c r="A41" s="5" t="s">
        <v>73</v>
      </c>
      <c r="B41" s="5" t="s">
        <v>74</v>
      </c>
      <c r="C41" s="6" t="n">
        <v>2000000</v>
      </c>
      <c r="D41" s="6" t="n">
        <v>0</v>
      </c>
    </row>
    <row r="42" customFormat="false" ht="15" hidden="false" customHeight="false" outlineLevel="0" collapsed="false">
      <c r="A42" s="7" t="s">
        <v>75</v>
      </c>
      <c r="B42" s="7" t="s">
        <v>76</v>
      </c>
      <c r="C42" s="8" t="n">
        <v>0</v>
      </c>
      <c r="D42" s="8" t="n">
        <v>3940000</v>
      </c>
    </row>
    <row r="43" customFormat="false" ht="15" hidden="false" customHeight="false" outlineLevel="0" collapsed="false">
      <c r="A43" s="4"/>
      <c r="B43" s="4" t="s">
        <v>77</v>
      </c>
      <c r="C43" s="4"/>
      <c r="D43" s="4"/>
    </row>
    <row r="44" customFormat="false" ht="15" hidden="false" customHeight="false" outlineLevel="0" collapsed="false">
      <c r="A44" s="7" t="s">
        <v>78</v>
      </c>
      <c r="B44" s="7" t="s">
        <v>79</v>
      </c>
      <c r="C44" s="8" t="n">
        <v>18500000</v>
      </c>
      <c r="D44" s="8" t="n">
        <v>0</v>
      </c>
    </row>
    <row r="45" customFormat="false" ht="15" hidden="false" customHeight="false" outlineLevel="0" collapsed="false">
      <c r="A45" s="5" t="s">
        <v>80</v>
      </c>
      <c r="B45" s="5" t="s">
        <v>81</v>
      </c>
      <c r="C45" s="6" t="n">
        <v>6000000</v>
      </c>
      <c r="D45" s="6" t="n">
        <v>0</v>
      </c>
    </row>
    <row r="46" customFormat="false" ht="15" hidden="false" customHeight="false" outlineLevel="0" collapsed="false">
      <c r="A46" s="7" t="s">
        <v>82</v>
      </c>
      <c r="B46" s="7" t="s">
        <v>83</v>
      </c>
      <c r="C46" s="8" t="n">
        <v>3500000</v>
      </c>
      <c r="D46" s="8" t="n">
        <v>0</v>
      </c>
    </row>
    <row r="47" customFormat="false" ht="15" hidden="false" customHeight="false" outlineLevel="0" collapsed="false">
      <c r="A47" s="5" t="s">
        <v>84</v>
      </c>
      <c r="B47" s="5" t="s">
        <v>85</v>
      </c>
      <c r="C47" s="6" t="n">
        <v>850000</v>
      </c>
      <c r="D47" s="6" t="n">
        <v>0</v>
      </c>
    </row>
    <row r="48" customFormat="false" ht="15" hidden="false" customHeight="false" outlineLevel="0" collapsed="false">
      <c r="A48" s="4"/>
      <c r="B48" s="4" t="s">
        <v>86</v>
      </c>
      <c r="C48" s="4"/>
      <c r="D48" s="4"/>
    </row>
    <row r="49" customFormat="false" ht="15" hidden="false" customHeight="false" outlineLevel="0" collapsed="false">
      <c r="A49" s="5" t="s">
        <v>87</v>
      </c>
      <c r="B49" s="5" t="s">
        <v>88</v>
      </c>
      <c r="C49" s="6" t="n">
        <v>92500000</v>
      </c>
      <c r="D49" s="6" t="n">
        <v>0</v>
      </c>
    </row>
    <row r="50" customFormat="false" ht="15" hidden="false" customHeight="false" outlineLevel="0" collapsed="false">
      <c r="A50" s="7" t="s">
        <v>89</v>
      </c>
      <c r="B50" s="7" t="s">
        <v>90</v>
      </c>
      <c r="C50" s="8" t="n">
        <v>5000000</v>
      </c>
      <c r="D50" s="8" t="n">
        <v>0</v>
      </c>
    </row>
    <row r="51" customFormat="false" ht="15" hidden="false" customHeight="false" outlineLevel="0" collapsed="false">
      <c r="A51" s="5" t="s">
        <v>91</v>
      </c>
      <c r="B51" s="5" t="s">
        <v>92</v>
      </c>
      <c r="C51" s="6" t="n">
        <v>18000000</v>
      </c>
      <c r="D51" s="6" t="n">
        <v>0</v>
      </c>
    </row>
    <row r="52" customFormat="false" ht="15" hidden="false" customHeight="false" outlineLevel="0" collapsed="false">
      <c r="A52" s="7" t="s">
        <v>93</v>
      </c>
      <c r="B52" s="7" t="s">
        <v>94</v>
      </c>
      <c r="C52" s="8" t="n">
        <v>3000000</v>
      </c>
      <c r="D52" s="8" t="n">
        <v>0</v>
      </c>
    </row>
    <row r="53" customFormat="false" ht="15" hidden="false" customHeight="false" outlineLevel="0" collapsed="false">
      <c r="A53" s="5" t="s">
        <v>95</v>
      </c>
      <c r="B53" s="5" t="s">
        <v>96</v>
      </c>
      <c r="C53" s="6" t="n">
        <v>960000</v>
      </c>
      <c r="D53" s="6" t="n">
        <v>0</v>
      </c>
    </row>
    <row r="54" customFormat="false" ht="15" hidden="false" customHeight="false" outlineLevel="0" collapsed="false">
      <c r="A54" s="7" t="s">
        <v>97</v>
      </c>
      <c r="B54" s="7" t="s">
        <v>98</v>
      </c>
      <c r="C54" s="8" t="n">
        <v>2500000</v>
      </c>
      <c r="D54" s="8" t="n">
        <v>0</v>
      </c>
    </row>
    <row r="55" customFormat="false" ht="15" hidden="false" customHeight="false" outlineLevel="0" collapsed="false">
      <c r="A55" s="5" t="s">
        <v>99</v>
      </c>
      <c r="B55" s="5" t="s">
        <v>100</v>
      </c>
      <c r="C55" s="6" t="n">
        <v>1000000</v>
      </c>
      <c r="D55" s="6" t="n">
        <v>0</v>
      </c>
    </row>
    <row r="56" customFormat="false" ht="15" hidden="false" customHeight="false" outlineLevel="0" collapsed="false">
      <c r="A56" s="7" t="s">
        <v>101</v>
      </c>
      <c r="B56" s="7" t="s">
        <v>102</v>
      </c>
      <c r="C56" s="8" t="n">
        <v>480000</v>
      </c>
      <c r="D56" s="8" t="n">
        <v>0</v>
      </c>
    </row>
    <row r="57" customFormat="false" ht="15" hidden="false" customHeight="false" outlineLevel="0" collapsed="false">
      <c r="A57" s="5" t="s">
        <v>103</v>
      </c>
      <c r="B57" s="5" t="s">
        <v>104</v>
      </c>
      <c r="C57" s="6" t="n">
        <v>1800000</v>
      </c>
      <c r="D57" s="6" t="n">
        <v>0</v>
      </c>
    </row>
    <row r="58" customFormat="false" ht="15" hidden="false" customHeight="false" outlineLevel="0" collapsed="false">
      <c r="A58" s="7" t="s">
        <v>105</v>
      </c>
      <c r="B58" s="7" t="s">
        <v>106</v>
      </c>
      <c r="C58" s="8" t="n">
        <v>800000</v>
      </c>
      <c r="D58" s="8" t="n">
        <v>0</v>
      </c>
    </row>
    <row r="59" customFormat="false" ht="15" hidden="false" customHeight="false" outlineLevel="0" collapsed="false">
      <c r="A59" s="5" t="s">
        <v>107</v>
      </c>
      <c r="B59" s="5" t="s">
        <v>108</v>
      </c>
      <c r="C59" s="6" t="n">
        <v>4800000</v>
      </c>
      <c r="D59" s="6" t="n">
        <v>0</v>
      </c>
    </row>
    <row r="60" customFormat="false" ht="15" hidden="false" customHeight="false" outlineLevel="0" collapsed="false">
      <c r="A60" s="7" t="s">
        <v>109</v>
      </c>
      <c r="B60" s="7" t="s">
        <v>110</v>
      </c>
      <c r="C60" s="8" t="n">
        <v>350000</v>
      </c>
      <c r="D60" s="8" t="n">
        <v>0</v>
      </c>
    </row>
    <row r="61" customFormat="false" ht="15" hidden="false" customHeight="false" outlineLevel="0" collapsed="false">
      <c r="A61" s="5" t="s">
        <v>111</v>
      </c>
      <c r="B61" s="5" t="s">
        <v>112</v>
      </c>
      <c r="C61" s="6" t="n">
        <v>1200000</v>
      </c>
      <c r="D61" s="6" t="n">
        <v>0</v>
      </c>
    </row>
    <row r="62" customFormat="false" ht="15" hidden="false" customHeight="false" outlineLevel="0" collapsed="false">
      <c r="A62" s="7" t="s">
        <v>113</v>
      </c>
      <c r="B62" s="7" t="s">
        <v>114</v>
      </c>
      <c r="C62" s="8" t="n">
        <v>2000000</v>
      </c>
      <c r="D62" s="8" t="n">
        <v>0</v>
      </c>
    </row>
    <row r="63" customFormat="false" ht="15" hidden="false" customHeight="false" outlineLevel="0" collapsed="false">
      <c r="A63" s="5" t="s">
        <v>115</v>
      </c>
      <c r="B63" s="5" t="s">
        <v>116</v>
      </c>
      <c r="C63" s="6" t="n">
        <v>2000000</v>
      </c>
      <c r="D63" s="6" t="n">
        <v>0</v>
      </c>
    </row>
    <row r="64" customFormat="false" ht="15" hidden="false" customHeight="false" outlineLevel="0" collapsed="false">
      <c r="A64" s="7" t="s">
        <v>117</v>
      </c>
      <c r="B64" s="7" t="s">
        <v>118</v>
      </c>
      <c r="C64" s="8" t="n">
        <v>2000000</v>
      </c>
      <c r="D64" s="8" t="n">
        <v>0</v>
      </c>
    </row>
    <row r="65" customFormat="false" ht="15" hidden="false" customHeight="false" outlineLevel="0" collapsed="false">
      <c r="A65" s="5" t="s">
        <v>119</v>
      </c>
      <c r="B65" s="5" t="s">
        <v>120</v>
      </c>
      <c r="C65" s="6" t="n">
        <v>500000</v>
      </c>
      <c r="D65" s="6" t="n">
        <v>0</v>
      </c>
    </row>
    <row r="66" customFormat="false" ht="15" hidden="false" customHeight="false" outlineLevel="0" collapsed="false">
      <c r="A66" s="7" t="s">
        <v>121</v>
      </c>
      <c r="B66" s="7" t="s">
        <v>122</v>
      </c>
      <c r="C66" s="8" t="n">
        <v>5940000</v>
      </c>
      <c r="D66" s="8" t="n">
        <v>0</v>
      </c>
    </row>
    <row r="67" customFormat="false" ht="15" hidden="false" customHeight="false" outlineLevel="0" collapsed="false">
      <c r="A67" s="4"/>
      <c r="B67" s="4" t="s">
        <v>123</v>
      </c>
      <c r="C67" s="4"/>
      <c r="D67" s="4"/>
    </row>
    <row r="68" customFormat="false" ht="15" hidden="false" customHeight="false" outlineLevel="0" collapsed="false">
      <c r="A68" s="7" t="s">
        <v>124</v>
      </c>
      <c r="B68" s="7" t="s">
        <v>125</v>
      </c>
      <c r="C68" s="8" t="n">
        <v>0</v>
      </c>
      <c r="D68" s="8" t="n">
        <v>150000000</v>
      </c>
    </row>
    <row r="69" customFormat="false" ht="15" hidden="false" customHeight="false" outlineLevel="0" collapsed="false">
      <c r="A69" s="5" t="s">
        <v>126</v>
      </c>
      <c r="B69" s="5" t="s">
        <v>127</v>
      </c>
      <c r="C69" s="6" t="n">
        <v>4000000</v>
      </c>
      <c r="D69" s="6" t="n">
        <v>0</v>
      </c>
    </row>
    <row r="70" customFormat="false" ht="15" hidden="false" customHeight="false" outlineLevel="0" collapsed="false">
      <c r="A70" s="7" t="s">
        <v>128</v>
      </c>
      <c r="B70" s="7" t="s">
        <v>129</v>
      </c>
      <c r="C70" s="8" t="n">
        <v>0</v>
      </c>
      <c r="D70" s="8" t="n">
        <v>8000000</v>
      </c>
    </row>
    <row r="71" customFormat="false" ht="15" hidden="false" customHeight="false" outlineLevel="0" collapsed="false">
      <c r="A71" s="5" t="s">
        <v>130</v>
      </c>
      <c r="B71" s="5" t="s">
        <v>131</v>
      </c>
      <c r="C71" s="6" t="n">
        <v>0</v>
      </c>
      <c r="D71" s="6" t="n">
        <v>1200000</v>
      </c>
    </row>
    <row r="72" customFormat="false" ht="15" hidden="false" customHeight="false" outlineLevel="0" collapsed="false">
      <c r="A72" s="7" t="s">
        <v>132</v>
      </c>
      <c r="B72" s="7" t="s">
        <v>133</v>
      </c>
      <c r="C72" s="8" t="n">
        <v>0</v>
      </c>
      <c r="D72" s="8" t="n">
        <v>500000</v>
      </c>
    </row>
    <row r="73" customFormat="false" ht="15" hidden="false" customHeight="false" outlineLevel="0" collapsed="false">
      <c r="A73" s="5" t="s">
        <v>134</v>
      </c>
      <c r="B73" s="5" t="s">
        <v>135</v>
      </c>
      <c r="C73" s="6" t="n">
        <v>0</v>
      </c>
      <c r="D73" s="6" t="n">
        <v>350000</v>
      </c>
    </row>
    <row r="74" customFormat="false" ht="15" hidden="false" customHeight="false" outlineLevel="0" collapsed="false">
      <c r="A74" s="9" t="s">
        <v>136</v>
      </c>
      <c r="B74" s="9" t="s">
        <v>137</v>
      </c>
      <c r="C74" s="10" t="n">
        <f aca="false">SUM(C6:C72)</f>
        <v>295480000</v>
      </c>
      <c r="D74" s="10" t="n">
        <f aca="false">SUM(D6:D72)</f>
        <v>270820000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1" t="s">
        <v>138</v>
      </c>
      <c r="B1" s="11"/>
      <c r="C1" s="11"/>
      <c r="D1" s="11"/>
      <c r="E1" s="11"/>
      <c r="F1" s="11"/>
    </row>
    <row r="2" customFormat="false" ht="15" hidden="false" customHeight="false" outlineLevel="0" collapsed="false">
      <c r="A2" s="2" t="s">
        <v>139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140</v>
      </c>
      <c r="B4" s="3" t="s">
        <v>141</v>
      </c>
      <c r="C4" s="3" t="s">
        <v>142</v>
      </c>
      <c r="D4" s="3" t="s">
        <v>5</v>
      </c>
      <c r="E4" s="3" t="s">
        <v>6</v>
      </c>
      <c r="F4" s="3" t="s">
        <v>143</v>
      </c>
    </row>
    <row r="5" customFormat="false" ht="15" hidden="false" customHeight="false" outlineLevel="0" collapsed="false">
      <c r="A5" s="7" t="s">
        <v>144</v>
      </c>
      <c r="B5" s="7" t="s">
        <v>145</v>
      </c>
      <c r="C5" s="7"/>
      <c r="D5" s="8"/>
      <c r="E5" s="8"/>
      <c r="F5" s="8" t="n">
        <v>15820000</v>
      </c>
    </row>
    <row r="6" customFormat="false" ht="15" hidden="false" customHeight="false" outlineLevel="0" collapsed="false">
      <c r="A6" s="5" t="s">
        <v>146</v>
      </c>
      <c r="B6" s="5" t="s">
        <v>147</v>
      </c>
      <c r="C6" s="5" t="s">
        <v>148</v>
      </c>
      <c r="D6" s="6"/>
      <c r="E6" s="6" t="n">
        <v>4500000</v>
      </c>
      <c r="F6" s="6" t="n">
        <v>20320000</v>
      </c>
    </row>
    <row r="7" customFormat="false" ht="15" hidden="false" customHeight="false" outlineLevel="0" collapsed="false">
      <c r="A7" s="7" t="s">
        <v>149</v>
      </c>
      <c r="B7" s="7" t="s">
        <v>150</v>
      </c>
      <c r="C7" s="7" t="s">
        <v>151</v>
      </c>
      <c r="D7" s="8" t="n">
        <v>3200000</v>
      </c>
      <c r="E7" s="8"/>
      <c r="F7" s="8" t="n">
        <v>17120000</v>
      </c>
    </row>
    <row r="8" customFormat="false" ht="15" hidden="false" customHeight="false" outlineLevel="0" collapsed="false">
      <c r="A8" s="5" t="s">
        <v>152</v>
      </c>
      <c r="B8" s="5" t="s">
        <v>153</v>
      </c>
      <c r="C8" s="5" t="s">
        <v>154</v>
      </c>
      <c r="D8" s="6" t="n">
        <v>400000</v>
      </c>
      <c r="E8" s="6"/>
      <c r="F8" s="6" t="n">
        <v>16720000</v>
      </c>
    </row>
    <row r="9" customFormat="false" ht="15" hidden="false" customHeight="false" outlineLevel="0" collapsed="false">
      <c r="A9" s="7" t="s">
        <v>155</v>
      </c>
      <c r="B9" s="7" t="s">
        <v>156</v>
      </c>
      <c r="C9" s="7" t="s">
        <v>157</v>
      </c>
      <c r="D9" s="8"/>
      <c r="E9" s="8" t="n">
        <v>2800000</v>
      </c>
      <c r="F9" s="8" t="n">
        <v>19520000</v>
      </c>
    </row>
    <row r="10" customFormat="false" ht="15" hidden="false" customHeight="false" outlineLevel="0" collapsed="false">
      <c r="A10" s="5" t="s">
        <v>158</v>
      </c>
      <c r="B10" s="5" t="s">
        <v>159</v>
      </c>
      <c r="C10" s="5" t="s">
        <v>160</v>
      </c>
      <c r="D10" s="6"/>
      <c r="E10" s="6" t="n">
        <v>1500000</v>
      </c>
      <c r="F10" s="6" t="n">
        <v>21020000</v>
      </c>
    </row>
    <row r="11" customFormat="false" ht="15" hidden="false" customHeight="false" outlineLevel="0" collapsed="false">
      <c r="A11" s="7" t="s">
        <v>161</v>
      </c>
      <c r="B11" s="7" t="s">
        <v>162</v>
      </c>
      <c r="C11" s="7" t="s">
        <v>163</v>
      </c>
      <c r="D11" s="8" t="n">
        <v>840000</v>
      </c>
      <c r="E11" s="8"/>
      <c r="F11" s="8" t="n">
        <v>20180000</v>
      </c>
    </row>
    <row r="12" customFormat="false" ht="15" hidden="false" customHeight="false" outlineLevel="0" collapsed="false">
      <c r="A12" s="5" t="s">
        <v>164</v>
      </c>
      <c r="B12" s="5" t="s">
        <v>165</v>
      </c>
      <c r="C12" s="5" t="s">
        <v>166</v>
      </c>
      <c r="D12" s="6"/>
      <c r="E12" s="6" t="n">
        <v>3200000</v>
      </c>
      <c r="F12" s="6" t="n">
        <v>23380000</v>
      </c>
    </row>
    <row r="13" customFormat="false" ht="15" hidden="false" customHeight="false" outlineLevel="0" collapsed="false">
      <c r="A13" s="7" t="s">
        <v>167</v>
      </c>
      <c r="B13" s="7" t="s">
        <v>168</v>
      </c>
      <c r="C13" s="7" t="s">
        <v>169</v>
      </c>
      <c r="D13" s="8" t="n">
        <v>5800000</v>
      </c>
      <c r="E13" s="8"/>
      <c r="F13" s="8" t="n">
        <v>17580000</v>
      </c>
    </row>
    <row r="14" customFormat="false" ht="15" hidden="false" customHeight="false" outlineLevel="0" collapsed="false">
      <c r="A14" s="5" t="s">
        <v>170</v>
      </c>
      <c r="B14" s="5" t="s">
        <v>171</v>
      </c>
      <c r="C14" s="5" t="s">
        <v>172</v>
      </c>
      <c r="D14" s="6" t="n">
        <v>2400000</v>
      </c>
      <c r="E14" s="6"/>
      <c r="F14" s="6" t="n">
        <v>15180000</v>
      </c>
    </row>
    <row r="15" customFormat="false" ht="15" hidden="false" customHeight="false" outlineLevel="0" collapsed="false">
      <c r="A15" s="7" t="s">
        <v>173</v>
      </c>
      <c r="B15" s="7" t="s">
        <v>174</v>
      </c>
      <c r="C15" s="7" t="s">
        <v>175</v>
      </c>
      <c r="D15" s="8" t="n">
        <v>125000</v>
      </c>
      <c r="E15" s="8"/>
      <c r="F15" s="8" t="n">
        <v>15055000</v>
      </c>
    </row>
    <row r="16" customFormat="false" ht="15" hidden="false" customHeight="false" outlineLevel="0" collapsed="false">
      <c r="A16" s="5" t="s">
        <v>176</v>
      </c>
      <c r="B16" s="5" t="s">
        <v>177</v>
      </c>
      <c r="C16" s="5" t="s">
        <v>178</v>
      </c>
      <c r="D16" s="6"/>
      <c r="E16" s="6" t="n">
        <v>1800000</v>
      </c>
      <c r="F16" s="6" t="n">
        <v>16855000</v>
      </c>
    </row>
    <row r="17" customFormat="false" ht="15" hidden="false" customHeight="false" outlineLevel="0" collapsed="false">
      <c r="A17" s="7" t="s">
        <v>179</v>
      </c>
      <c r="B17" s="7" t="s">
        <v>180</v>
      </c>
      <c r="C17" s="7" t="s">
        <v>181</v>
      </c>
      <c r="D17" s="8" t="n">
        <v>850000</v>
      </c>
      <c r="E17" s="8"/>
      <c r="F17" s="8" t="n">
        <v>16005000</v>
      </c>
    </row>
    <row r="18" customFormat="false" ht="15" hidden="false" customHeight="false" outlineLevel="0" collapsed="false">
      <c r="A18" s="5" t="s">
        <v>182</v>
      </c>
      <c r="B18" s="5" t="s">
        <v>183</v>
      </c>
      <c r="C18" s="5" t="s">
        <v>184</v>
      </c>
      <c r="D18" s="6"/>
      <c r="E18" s="6" t="n">
        <v>2200000</v>
      </c>
      <c r="F18" s="6" t="n">
        <v>18205000</v>
      </c>
    </row>
    <row r="19" customFormat="false" ht="15" hidden="false" customHeight="false" outlineLevel="0" collapsed="false">
      <c r="A19" s="7" t="s">
        <v>185</v>
      </c>
      <c r="B19" s="7" t="s">
        <v>186</v>
      </c>
      <c r="C19" s="7" t="s">
        <v>187</v>
      </c>
      <c r="D19" s="8" t="n">
        <v>1950000</v>
      </c>
      <c r="E19" s="8"/>
      <c r="F19" s="8" t="n">
        <v>16255000</v>
      </c>
    </row>
    <row r="20" customFormat="false" ht="15" hidden="false" customHeight="false" outlineLevel="0" collapsed="false">
      <c r="A20" s="5" t="s">
        <v>188</v>
      </c>
      <c r="B20" s="5" t="s">
        <v>189</v>
      </c>
      <c r="C20" s="5" t="s">
        <v>190</v>
      </c>
      <c r="D20" s="6" t="n">
        <v>1800000</v>
      </c>
      <c r="E20" s="6"/>
      <c r="F20" s="6" t="n">
        <v>14455000</v>
      </c>
    </row>
    <row r="21" customFormat="false" ht="15" hidden="false" customHeight="false" outlineLevel="0" collapsed="false">
      <c r="A21" s="7" t="s">
        <v>191</v>
      </c>
      <c r="B21" s="7" t="s">
        <v>192</v>
      </c>
      <c r="C21" s="7" t="s">
        <v>193</v>
      </c>
      <c r="D21" s="8"/>
      <c r="E21" s="8" t="n">
        <v>4800000</v>
      </c>
      <c r="F21" s="8" t="n">
        <v>19255000</v>
      </c>
    </row>
    <row r="22" customFormat="false" ht="15" hidden="false" customHeight="false" outlineLevel="0" collapsed="false">
      <c r="A22" s="5" t="s">
        <v>194</v>
      </c>
      <c r="B22" s="5" t="s">
        <v>195</v>
      </c>
      <c r="C22" s="5" t="s">
        <v>196</v>
      </c>
      <c r="D22" s="6" t="n">
        <v>320000</v>
      </c>
      <c r="E22" s="6"/>
      <c r="F22" s="6" t="n">
        <v>18935000</v>
      </c>
    </row>
    <row r="23" customFormat="false" ht="15" hidden="false" customHeight="false" outlineLevel="0" collapsed="false">
      <c r="A23" s="7" t="s">
        <v>197</v>
      </c>
      <c r="B23" s="7" t="s">
        <v>198</v>
      </c>
      <c r="C23" s="7" t="s">
        <v>199</v>
      </c>
      <c r="D23" s="8"/>
      <c r="E23" s="8" t="n">
        <v>1200000</v>
      </c>
      <c r="F23" s="8" t="n">
        <v>20135000</v>
      </c>
    </row>
    <row r="24" customFormat="false" ht="15" hidden="false" customHeight="false" outlineLevel="0" collapsed="false">
      <c r="A24" s="5" t="s">
        <v>200</v>
      </c>
      <c r="B24" s="5" t="s">
        <v>201</v>
      </c>
      <c r="C24" s="5" t="s">
        <v>202</v>
      </c>
      <c r="D24" s="6" t="n">
        <v>800000</v>
      </c>
      <c r="E24" s="6"/>
      <c r="F24" s="6" t="n">
        <v>19335000</v>
      </c>
    </row>
    <row r="25" customFormat="false" ht="15" hidden="false" customHeight="false" outlineLevel="0" collapsed="false">
      <c r="A25" s="7" t="s">
        <v>203</v>
      </c>
      <c r="B25" s="7" t="s">
        <v>204</v>
      </c>
      <c r="C25" s="7" t="s">
        <v>205</v>
      </c>
      <c r="D25" s="8" t="n">
        <v>500000</v>
      </c>
      <c r="E25" s="8"/>
      <c r="F25" s="8" t="n">
        <v>18835000</v>
      </c>
    </row>
    <row r="26" customFormat="false" ht="15" hidden="false" customHeight="false" outlineLevel="0" collapsed="false">
      <c r="A26" s="5" t="s">
        <v>206</v>
      </c>
      <c r="B26" s="5" t="s">
        <v>207</v>
      </c>
      <c r="C26" s="5" t="s">
        <v>208</v>
      </c>
      <c r="D26" s="6"/>
      <c r="E26" s="6" t="n">
        <v>42000</v>
      </c>
      <c r="F26" s="6" t="n">
        <v>18877000</v>
      </c>
    </row>
    <row r="27" customFormat="false" ht="15" hidden="false" customHeight="false" outlineLevel="0" collapsed="false">
      <c r="A27" s="7" t="s">
        <v>209</v>
      </c>
      <c r="B27" s="7" t="s">
        <v>210</v>
      </c>
      <c r="C27" s="7"/>
      <c r="D27" s="8"/>
      <c r="E27" s="8"/>
      <c r="F27" s="8" t="n">
        <v>18877000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7" min="3" style="0" width="16"/>
  </cols>
  <sheetData>
    <row r="1" customFormat="false" ht="15" hidden="false" customHeight="false" outlineLevel="0" collapsed="false">
      <c r="A1" s="11" t="s">
        <v>211</v>
      </c>
      <c r="B1" s="11"/>
      <c r="C1" s="11"/>
      <c r="D1" s="11"/>
      <c r="E1" s="11"/>
      <c r="F1" s="11"/>
      <c r="G1" s="11"/>
    </row>
    <row r="3" customFormat="false" ht="15" hidden="false" customHeight="false" outlineLevel="0" collapsed="false">
      <c r="A3" s="3" t="s">
        <v>212</v>
      </c>
      <c r="B3" s="3" t="s">
        <v>213</v>
      </c>
      <c r="C3" s="3" t="s">
        <v>214</v>
      </c>
      <c r="D3" s="3" t="s">
        <v>215</v>
      </c>
      <c r="E3" s="3" t="s">
        <v>216</v>
      </c>
      <c r="F3" s="3" t="s">
        <v>217</v>
      </c>
      <c r="G3" s="3" t="s">
        <v>218</v>
      </c>
    </row>
    <row r="4" customFormat="false" ht="15" hidden="false" customHeight="false" outlineLevel="0" collapsed="false">
      <c r="A4" s="7" t="s">
        <v>219</v>
      </c>
      <c r="B4" s="7" t="s">
        <v>220</v>
      </c>
      <c r="C4" s="8" t="n">
        <v>4500000</v>
      </c>
      <c r="D4" s="8" t="n">
        <v>4500000</v>
      </c>
      <c r="E4" s="8" t="n">
        <v>0</v>
      </c>
      <c r="F4" s="8" t="n">
        <v>0</v>
      </c>
      <c r="G4" s="8" t="n">
        <v>0</v>
      </c>
    </row>
    <row r="5" customFormat="false" ht="15" hidden="false" customHeight="false" outlineLevel="0" collapsed="false">
      <c r="A5" s="5" t="s">
        <v>221</v>
      </c>
      <c r="B5" s="5" t="s">
        <v>222</v>
      </c>
      <c r="C5" s="6" t="n">
        <v>2800000</v>
      </c>
      <c r="D5" s="6" t="n">
        <v>2800000</v>
      </c>
      <c r="E5" s="6" t="n">
        <v>0</v>
      </c>
      <c r="F5" s="6" t="n">
        <v>0</v>
      </c>
      <c r="G5" s="6" t="n">
        <v>0</v>
      </c>
    </row>
    <row r="6" customFormat="false" ht="15" hidden="false" customHeight="false" outlineLevel="0" collapsed="false">
      <c r="A6" s="7" t="s">
        <v>223</v>
      </c>
      <c r="B6" s="7" t="s">
        <v>224</v>
      </c>
      <c r="C6" s="8" t="n">
        <v>3200000</v>
      </c>
      <c r="D6" s="8" t="n">
        <v>1200000</v>
      </c>
      <c r="E6" s="8" t="n">
        <v>2000000</v>
      </c>
      <c r="F6" s="8" t="n">
        <v>0</v>
      </c>
      <c r="G6" s="8" t="n">
        <v>0</v>
      </c>
    </row>
    <row r="7" customFormat="false" ht="15" hidden="false" customHeight="false" outlineLevel="0" collapsed="false">
      <c r="A7" s="5" t="s">
        <v>225</v>
      </c>
      <c r="B7" s="5" t="s">
        <v>226</v>
      </c>
      <c r="C7" s="6" t="n">
        <v>4800000</v>
      </c>
      <c r="D7" s="6" t="n">
        <v>2500000</v>
      </c>
      <c r="E7" s="6" t="n">
        <v>2300000</v>
      </c>
      <c r="F7" s="6" t="n">
        <v>0</v>
      </c>
      <c r="G7" s="6" t="n">
        <v>0</v>
      </c>
    </row>
    <row r="8" customFormat="false" ht="15" hidden="false" customHeight="false" outlineLevel="0" collapsed="false">
      <c r="A8" s="7" t="s">
        <v>227</v>
      </c>
      <c r="B8" s="7" t="s">
        <v>228</v>
      </c>
      <c r="C8" s="8" t="n">
        <v>1800000</v>
      </c>
      <c r="D8" s="8" t="n">
        <v>1800000</v>
      </c>
      <c r="E8" s="8" t="n">
        <v>0</v>
      </c>
      <c r="F8" s="8" t="n">
        <v>0</v>
      </c>
      <c r="G8" s="8" t="n">
        <v>0</v>
      </c>
    </row>
    <row r="9" customFormat="false" ht="15" hidden="false" customHeight="false" outlineLevel="0" collapsed="false">
      <c r="A9" s="5" t="s">
        <v>229</v>
      </c>
      <c r="B9" s="5" t="s">
        <v>230</v>
      </c>
      <c r="C9" s="6" t="n">
        <v>3200000</v>
      </c>
      <c r="D9" s="6" t="n">
        <v>800000</v>
      </c>
      <c r="E9" s="6" t="n">
        <v>2400000</v>
      </c>
      <c r="F9" s="6" t="n">
        <v>0</v>
      </c>
      <c r="G9" s="6" t="n">
        <v>0</v>
      </c>
    </row>
    <row r="10" customFormat="false" ht="15" hidden="false" customHeight="false" outlineLevel="0" collapsed="false">
      <c r="A10" s="7" t="s">
        <v>231</v>
      </c>
      <c r="B10" s="7" t="s">
        <v>232</v>
      </c>
      <c r="C10" s="8" t="n">
        <v>2200000</v>
      </c>
      <c r="D10" s="8" t="n">
        <v>0</v>
      </c>
      <c r="E10" s="8" t="n">
        <v>2200000</v>
      </c>
      <c r="F10" s="8" t="n">
        <v>0</v>
      </c>
      <c r="G10" s="8" t="n">
        <v>0</v>
      </c>
    </row>
    <row r="11" customFormat="false" ht="15" hidden="false" customHeight="false" outlineLevel="0" collapsed="false">
      <c r="A11" s="5" t="s">
        <v>233</v>
      </c>
      <c r="B11" s="5" t="s">
        <v>234</v>
      </c>
      <c r="C11" s="6" t="n">
        <v>1200000</v>
      </c>
      <c r="D11" s="6" t="n">
        <v>1200000</v>
      </c>
      <c r="E11" s="6" t="n">
        <v>0</v>
      </c>
      <c r="F11" s="6" t="n">
        <v>0</v>
      </c>
      <c r="G11" s="6" t="n">
        <v>0</v>
      </c>
    </row>
    <row r="12" customFormat="false" ht="15" hidden="false" customHeight="false" outlineLevel="0" collapsed="false">
      <c r="A12" s="7" t="s">
        <v>235</v>
      </c>
      <c r="B12" s="7" t="s">
        <v>236</v>
      </c>
      <c r="C12" s="8" t="n">
        <v>2400000</v>
      </c>
      <c r="D12" s="8" t="n">
        <v>0</v>
      </c>
      <c r="E12" s="8" t="n">
        <v>0</v>
      </c>
      <c r="F12" s="8" t="n">
        <v>2400000</v>
      </c>
      <c r="G12" s="8" t="n">
        <v>0</v>
      </c>
    </row>
    <row r="13" customFormat="false" ht="15" hidden="false" customHeight="false" outlineLevel="0" collapsed="false">
      <c r="A13" s="5" t="s">
        <v>237</v>
      </c>
      <c r="B13" s="5" t="s">
        <v>238</v>
      </c>
      <c r="C13" s="6" t="n">
        <v>1500000</v>
      </c>
      <c r="D13" s="6" t="n">
        <v>0</v>
      </c>
      <c r="E13" s="6" t="n">
        <v>0</v>
      </c>
      <c r="F13" s="6" t="n">
        <v>1500000</v>
      </c>
      <c r="G13" s="6" t="n">
        <v>0</v>
      </c>
    </row>
    <row r="14" customFormat="false" ht="15" hidden="false" customHeight="false" outlineLevel="0" collapsed="false">
      <c r="A14" s="7" t="s">
        <v>239</v>
      </c>
      <c r="B14" s="7" t="s">
        <v>240</v>
      </c>
      <c r="C14" s="8" t="n">
        <v>2100000</v>
      </c>
      <c r="D14" s="8" t="n">
        <v>0</v>
      </c>
      <c r="E14" s="8" t="n">
        <v>0</v>
      </c>
      <c r="F14" s="8" t="n">
        <v>0</v>
      </c>
      <c r="G14" s="8" t="n">
        <v>2100000</v>
      </c>
    </row>
    <row r="15" customFormat="false" ht="15" hidden="false" customHeight="false" outlineLevel="0" collapsed="false">
      <c r="A15" s="5" t="s">
        <v>241</v>
      </c>
      <c r="B15" s="5" t="s">
        <v>242</v>
      </c>
      <c r="C15" s="6" t="n">
        <v>2800000</v>
      </c>
      <c r="D15" s="6" t="n">
        <v>1500000</v>
      </c>
      <c r="E15" s="6" t="n">
        <v>900000</v>
      </c>
      <c r="F15" s="6" t="n">
        <v>400000</v>
      </c>
      <c r="G15" s="6" t="n">
        <v>0</v>
      </c>
    </row>
    <row r="16" customFormat="false" ht="15" hidden="false" customHeight="false" outlineLevel="0" collapsed="false">
      <c r="A16" s="12" t="s">
        <v>136</v>
      </c>
      <c r="B16" s="13"/>
      <c r="C16" s="14" t="n">
        <f aca="false">SUM(C4:C15)</f>
        <v>32500000</v>
      </c>
      <c r="D16" s="14" t="n">
        <f aca="false">SUM(D4:D15)</f>
        <v>16300000</v>
      </c>
      <c r="E16" s="14" t="n">
        <f aca="false">SUM(E4:E15)</f>
        <v>9800000</v>
      </c>
      <c r="F16" s="14" t="n">
        <f aca="false">SUM(F4:F15)</f>
        <v>4300000</v>
      </c>
      <c r="G16" s="14" t="n">
        <f aca="false">SUM(G4:G15)</f>
        <v>2100000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2026-05-27T15:11:55Z</dcterms:created>
  <dc:creator>openpyxl</dc:creator>
  <dc:description/>
  <dc:language>en-US</dc:language>
  <cp:lastModifiedBy/>
  <dcterms:modified xsi:type="dcterms:W3CDTF">2026-05-27T15:11:55Z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